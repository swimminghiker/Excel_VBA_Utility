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chen\Desktop\"/>
    </mc:Choice>
  </mc:AlternateContent>
  <xr:revisionPtr revIDLastSave="0" documentId="13_ncr:1_{7A92F23E-EF82-4EF3-9BBD-367AB6C2D37E}" xr6:coauthVersionLast="45" xr6:coauthVersionMax="45" xr10:uidLastSave="{00000000-0000-0000-0000-000000000000}"/>
  <bookViews>
    <workbookView xWindow="-120" yWindow="-120" windowWidth="29040" windowHeight="17640" xr2:uid="{BAA3C7E3-67F1-4E1E-9CB5-676FEE78EDFF}"/>
  </bookViews>
  <sheets>
    <sheet name="Text Manipulation" sheetId="1" r:id="rId1"/>
    <sheet name="Financial Calculation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5" i="1" l="1"/>
  <c r="C29" i="1"/>
  <c r="C28" i="1"/>
  <c r="C26" i="1"/>
  <c r="C27" i="1"/>
  <c r="H26" i="2" l="1"/>
  <c r="H27" i="2"/>
  <c r="H25" i="2"/>
  <c r="D26" i="2"/>
  <c r="D27" i="2"/>
  <c r="D25" i="2"/>
  <c r="G18" i="2"/>
  <c r="G17" i="2"/>
  <c r="G15" i="2"/>
  <c r="G16" i="2"/>
  <c r="G14" i="2"/>
  <c r="G6" i="2"/>
  <c r="G7" i="2"/>
  <c r="G5" i="2"/>
  <c r="C4" i="1"/>
  <c r="C8" i="1"/>
  <c r="C12" i="1"/>
  <c r="C16" i="1"/>
  <c r="C20" i="1"/>
  <c r="C11" i="1"/>
  <c r="C5" i="1"/>
  <c r="C9" i="1"/>
  <c r="C13" i="1"/>
  <c r="C17" i="1"/>
  <c r="C21" i="1"/>
  <c r="C15" i="1"/>
  <c r="C6" i="1"/>
  <c r="C10" i="1"/>
  <c r="C14" i="1"/>
  <c r="C18" i="1"/>
  <c r="C22" i="1"/>
  <c r="C7" i="1"/>
  <c r="C19" i="1"/>
  <c r="C3" i="1"/>
  <c r="B19" i="1" l="1"/>
  <c r="B22" i="1"/>
  <c r="B21" i="1"/>
  <c r="B20" i="1"/>
  <c r="B8" i="1" l="1"/>
  <c r="B7" i="1"/>
  <c r="B18" i="1"/>
  <c r="B16" i="1"/>
  <c r="B17" i="1"/>
  <c r="B4" i="1"/>
  <c r="B10" i="1"/>
  <c r="B3" i="1"/>
  <c r="B6" i="1"/>
  <c r="B14" i="1"/>
  <c r="B5" i="1"/>
  <c r="B13" i="1" l="1"/>
  <c r="B12" i="1"/>
  <c r="B29" i="1"/>
  <c r="B28" i="1"/>
  <c r="B26" i="1"/>
  <c r="B9" i="1" l="1"/>
  <c r="B27" i="1"/>
  <c r="B11" i="1"/>
</calcChain>
</file>

<file path=xl/sharedStrings.xml><?xml version="1.0" encoding="utf-8"?>
<sst xmlns="http://schemas.openxmlformats.org/spreadsheetml/2006/main" count="126" uniqueCount="86">
  <si>
    <t>john.smith@abc.com</t>
  </si>
  <si>
    <t>Original Text</t>
  </si>
  <si>
    <t>Formula</t>
  </si>
  <si>
    <t>Resulting Value</t>
  </si>
  <si>
    <t>Description</t>
  </si>
  <si>
    <t>Length of the string</t>
  </si>
  <si>
    <t>substitute pattern</t>
  </si>
  <si>
    <t>FORMATTING</t>
  </si>
  <si>
    <t>Add leading zero to a number</t>
  </si>
  <si>
    <t>JOHN.SMITH@ABC.COM</t>
  </si>
  <si>
    <t>Upper Case</t>
  </si>
  <si>
    <t>Lower Case</t>
  </si>
  <si>
    <t>Calculate ROI</t>
  </si>
  <si>
    <t>Present Value</t>
  </si>
  <si>
    <t>Future Value</t>
  </si>
  <si>
    <t>IRR</t>
  </si>
  <si>
    <t>Proper Case</t>
  </si>
  <si>
    <t>position of last occurance of "."</t>
  </si>
  <si>
    <t>john.smith@microsoft.com</t>
  </si>
  <si>
    <t>George Washington</t>
  </si>
  <si>
    <t>123456789</t>
  </si>
  <si>
    <t>The last three characters</t>
  </si>
  <si>
    <t>from position 2 take 3 characters</t>
  </si>
  <si>
    <t>123456790</t>
  </si>
  <si>
    <t>find position of 1st occurrence of "4"</t>
  </si>
  <si>
    <t>C:\AVAITEM.XLS</t>
  </si>
  <si>
    <t>modify file path</t>
  </si>
  <si>
    <t>number of times "." is found in the string</t>
  </si>
  <si>
    <t>number of characters from last occurrence of "." to the end of the string</t>
  </si>
  <si>
    <t>take everything to the right of last occurrence of "."</t>
  </si>
  <si>
    <t>number of characters from 1st occurrence of " " to the end of the string</t>
  </si>
  <si>
    <t>take everything to the right of 1st occurrence of " "</t>
  </si>
  <si>
    <t>stromg betweem 1st "@" and last "."</t>
  </si>
  <si>
    <t>One Two Three Four</t>
  </si>
  <si>
    <t>Get the 2nd word if separated by " "</t>
  </si>
  <si>
    <t>One,Two,Three,Four</t>
  </si>
  <si>
    <t>Get the 4th word if separated by ","</t>
  </si>
  <si>
    <t>Source</t>
  </si>
  <si>
    <t>1.2.3.4.5.6.7.8.</t>
  </si>
  <si>
    <t>find position of 4th occurrence of "."</t>
  </si>
  <si>
    <t>https://exceljet.net/formula/find-nth-occurrence-of-character</t>
  </si>
  <si>
    <t>https://www.excelhow.net/how-to-extract-nth-word-from-text-string.html</t>
  </si>
  <si>
    <t>Others</t>
  </si>
  <si>
    <t>replace the 3rd "." with "^"</t>
  </si>
  <si>
    <t>https://www.extendoffice.com/documents/excel/4911-excel-replace-all-nth-occurrences-character-in-string.html</t>
  </si>
  <si>
    <t>Text Manipulation</t>
  </si>
  <si>
    <t>take everything to the left of position 4</t>
  </si>
  <si>
    <t>take everything to the left of 1st "."</t>
  </si>
  <si>
    <t>take everything to the left of 1st " "</t>
  </si>
  <si>
    <t>Plan</t>
  </si>
  <si>
    <t>A</t>
  </si>
  <si>
    <t>B</t>
  </si>
  <si>
    <t>C</t>
  </si>
  <si>
    <t>Principle</t>
  </si>
  <si>
    <t>Annual Interest Rate</t>
  </si>
  <si>
    <t>Compounding Periods Per Year</t>
  </si>
  <si>
    <t>Term (Years)</t>
  </si>
  <si>
    <t>Syntax Explained</t>
  </si>
  <si>
    <t>=FV (rate, nper, pmt, [pv], [type])</t>
  </si>
  <si>
    <t>rate - The interest rate per period.</t>
  </si>
  <si>
    <t>nper - The total number of payment periods.</t>
  </si>
  <si>
    <t>type - [optional] When payments are due. 0 = end of period, 1 = beginning of period. Default is 0.</t>
  </si>
  <si>
    <t>=FV(rate = C3/E3, nper = D3*E3, pmt = 0, pv = -B3, type = 0)</t>
  </si>
  <si>
    <r>
      <t xml:space="preserve">pv - [optional] The present value of future payments. If omitted, assumed to be zero. Entered as a </t>
    </r>
    <r>
      <rPr>
        <sz val="11"/>
        <color rgb="FFFF0000"/>
        <rFont val="Calibri"/>
        <family val="2"/>
        <scheme val="minor"/>
      </rPr>
      <t>negative</t>
    </r>
    <r>
      <rPr>
        <sz val="11"/>
        <color theme="1"/>
        <rFont val="Calibri"/>
        <family val="2"/>
        <scheme val="minor"/>
      </rPr>
      <t xml:space="preserve"> number since this is money paid out to the bank. But if this is money received, enter as </t>
    </r>
    <r>
      <rPr>
        <sz val="11"/>
        <color rgb="FFFF0000"/>
        <rFont val="Calibri"/>
        <family val="2"/>
        <scheme val="minor"/>
      </rPr>
      <t>positive</t>
    </r>
  </si>
  <si>
    <r>
      <t xml:space="preserve">pmt - The payment made each period. Entered as a </t>
    </r>
    <r>
      <rPr>
        <sz val="11"/>
        <color rgb="FFFF0000"/>
        <rFont val="Calibri"/>
        <family val="2"/>
        <scheme val="minor"/>
      </rPr>
      <t>negative</t>
    </r>
    <r>
      <rPr>
        <sz val="11"/>
        <color theme="1"/>
        <rFont val="Calibri"/>
        <family val="2"/>
        <scheme val="minor"/>
      </rPr>
      <t xml:space="preserve"> number for money going out (mortgage) </t>
    </r>
    <r>
      <rPr>
        <sz val="11"/>
        <color rgb="FFFF0000"/>
        <rFont val="Calibri"/>
        <family val="2"/>
        <scheme val="minor"/>
      </rPr>
      <t>positive</t>
    </r>
    <r>
      <rPr>
        <sz val="11"/>
        <color theme="1"/>
        <rFont val="Calibri"/>
        <family val="2"/>
        <scheme val="minor"/>
      </rPr>
      <t xml:space="preserve"> for money coming in (dividen) But since we are receiving at the very end and not every period, enter </t>
    </r>
    <r>
      <rPr>
        <sz val="11"/>
        <color rgb="FFFF0000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here</t>
    </r>
  </si>
  <si>
    <t>rate C12/E12 since compounded monthly</t>
  </si>
  <si>
    <t>nper - D12 * E12</t>
  </si>
  <si>
    <t>=FV(C12/E12,D12*E12,-100,-B12,0)</t>
  </si>
  <si>
    <t>pmt - We are putting into the bank $100 and this is money going out. So enter -100 here</t>
  </si>
  <si>
    <t>pv - Initially we put $500 into the bank. This is money going out to the bank, so enter -500 here</t>
  </si>
  <si>
    <t>D</t>
  </si>
  <si>
    <t>E</t>
  </si>
  <si>
    <t>Initial Deposit or Down Payment</t>
  </si>
  <si>
    <t>Start with $X but no periodic deposit or payment</t>
  </si>
  <si>
    <t>Comment</t>
  </si>
  <si>
    <t>Started with $X and then save or pay $Y at the end of each compounding period</t>
  </si>
  <si>
    <r>
      <t xml:space="preserve">This is like </t>
    </r>
    <r>
      <rPr>
        <sz val="11"/>
        <color rgb="FFFF0000"/>
        <rFont val="Calibri"/>
        <family val="2"/>
        <scheme val="minor"/>
      </rPr>
      <t>opening a CD</t>
    </r>
    <r>
      <rPr>
        <sz val="11"/>
        <color theme="1"/>
        <rFont val="Calibri"/>
        <family val="2"/>
        <scheme val="minor"/>
      </rPr>
      <t xml:space="preserve"> and take it out at the time of maturity</t>
    </r>
  </si>
  <si>
    <r>
      <t xml:space="preserve">This is like opening a </t>
    </r>
    <r>
      <rPr>
        <sz val="11"/>
        <color rgb="FFFF0000"/>
        <rFont val="Calibri"/>
        <family val="2"/>
        <scheme val="minor"/>
      </rPr>
      <t>saving account with $X</t>
    </r>
    <r>
      <rPr>
        <sz val="11"/>
        <color theme="1"/>
        <rFont val="Calibri"/>
        <family val="2"/>
        <scheme val="minor"/>
      </rPr>
      <t xml:space="preserve"> initially but keep </t>
    </r>
    <r>
      <rPr>
        <sz val="11"/>
        <color rgb="FFFF0000"/>
        <rFont val="Calibri"/>
        <family val="2"/>
        <scheme val="minor"/>
      </rPr>
      <t>depositing $Y</t>
    </r>
    <r>
      <rPr>
        <sz val="11"/>
        <color theme="1"/>
        <rFont val="Calibri"/>
        <family val="2"/>
        <scheme val="minor"/>
      </rPr>
      <t xml:space="preserve"> at the end of each month. </t>
    </r>
  </si>
  <si>
    <t>Mortgage or Car Payments</t>
  </si>
  <si>
    <t>Loan Amount</t>
  </si>
  <si>
    <t>Monthly Payment</t>
  </si>
  <si>
    <t>Down Payment</t>
  </si>
  <si>
    <t>Selling Price</t>
  </si>
  <si>
    <t>=PMT(E25/G25,F25*G25,-D25)</t>
  </si>
  <si>
    <t>=PMT(rate,nper,pv,fv, type)</t>
  </si>
  <si>
    <t>House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</si>
</sst>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9">
    <xf numFmtId="0" fontId="0" fillId="0" borderId="0" xfId="0"/>
    <xf numFmtId="0" fontId="2" fillId="0" borderId="0" xfId="1"/>
    <xf numFmtId="0" fontId="0" fillId="0" borderId="0" xfId="0" quotePrefix="1"/>
    <xf numFmtId="0" fontId="1" fillId="0" borderId="0" xfId="0" applyFont="1" applyAlignment="1">
      <alignment horizontal="center"/>
    </xf>
    <xf numFmtId="0" fontId="4" fillId="0" borderId="0" xfId="0" applyFont="1"/>
    <xf numFmtId="0" fontId="0" fillId="0" borderId="0" xfId="0" applyFont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0" fontId="1" fillId="0" borderId="4" xfId="0" applyFont="1" applyBorder="1"/>
    <xf numFmtId="0" fontId="0" fillId="0" borderId="4" xfId="0" applyBorder="1" applyAlignment="1">
      <alignment horizontal="left" vertical="top"/>
    </xf>
    <xf numFmtId="164" fontId="0" fillId="0" borderId="4" xfId="0" applyNumberFormat="1" applyBorder="1" applyAlignment="1">
      <alignment horizontal="left" vertical="top"/>
    </xf>
    <xf numFmtId="10" fontId="0" fillId="0" borderId="4" xfId="0" applyNumberFormat="1" applyBorder="1" applyAlignment="1">
      <alignment horizontal="left" vertical="top"/>
    </xf>
    <xf numFmtId="0" fontId="0" fillId="0" borderId="4" xfId="0" quotePrefix="1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1" fillId="0" borderId="4" xfId="0" applyFont="1" applyBorder="1" applyAlignment="1">
      <alignment wrapText="1"/>
    </xf>
    <xf numFmtId="0" fontId="0" fillId="0" borderId="4" xfId="0" applyBorder="1"/>
    <xf numFmtId="164" fontId="0" fillId="0" borderId="4" xfId="0" applyNumberFormat="1" applyBorder="1"/>
    <xf numFmtId="10" fontId="0" fillId="0" borderId="4" xfId="0" applyNumberFormat="1" applyBorder="1"/>
    <xf numFmtId="8" fontId="0" fillId="2" borderId="4" xfId="0" applyNumberFormat="1" applyFill="1" applyBorder="1"/>
    <xf numFmtId="0" fontId="0" fillId="0" borderId="4" xfId="0" quotePrefix="1" applyBorder="1" applyAlignment="1">
      <alignment wrapText="1"/>
    </xf>
    <xf numFmtId="0" fontId="0" fillId="0" borderId="4" xfId="0" applyBorder="1" applyAlignment="1">
      <alignment wrapText="1"/>
    </xf>
    <xf numFmtId="8" fontId="0" fillId="2" borderId="4" xfId="0" applyNumberFormat="1" applyFill="1" applyBorder="1" applyAlignment="1">
      <alignment horizontal="left" vertical="top"/>
    </xf>
    <xf numFmtId="0" fontId="3" fillId="0" borderId="0" xfId="0" applyFont="1"/>
    <xf numFmtId="0" fontId="0" fillId="0" borderId="5" xfId="0" applyFill="1" applyBorder="1" applyAlignment="1">
      <alignment horizontal="left" vertical="top"/>
    </xf>
    <xf numFmtId="0" fontId="0" fillId="0" borderId="5" xfId="0" applyFill="1" applyBorder="1"/>
    <xf numFmtId="0" fontId="1" fillId="0" borderId="0" xfId="0" applyFont="1" applyAlignment="1">
      <alignment horizontal="left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6" xfId="0" applyFont="1" applyBorder="1" applyAlignment="1">
      <alignment horizontal="left" vertical="top" wrapText="1"/>
    </xf>
    <xf numFmtId="0" fontId="0" fillId="0" borderId="4" xfId="0" quotePrefix="1" applyBorder="1"/>
    <xf numFmtId="8" fontId="0" fillId="0" borderId="0" xfId="0" quotePrefix="1" applyNumberFormat="1" applyAlignment="1">
      <alignment wrapText="1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0" fillId="3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john.smith@microsoft.com" TargetMode="External"/><Relationship Id="rId1" Type="http://schemas.openxmlformats.org/officeDocument/2006/relationships/hyperlink" Target="mailto:john.smith@abc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F6495-431C-48D1-80C1-32E61D4FD937}">
  <sheetPr codeName="Sheet1"/>
  <dimension ref="A1:J33"/>
  <sheetViews>
    <sheetView tabSelected="1" workbookViewId="0">
      <selection activeCell="B36" sqref="B36"/>
    </sheetView>
  </sheetViews>
  <sheetFormatPr defaultRowHeight="15" x14ac:dyDescent="0.25"/>
  <cols>
    <col min="1" max="2" width="25.7109375" bestFit="1" customWidth="1"/>
    <col min="3" max="3" width="101.7109375" customWidth="1"/>
    <col min="4" max="4" width="65.7109375" bestFit="1" customWidth="1"/>
    <col min="5" max="5" width="70.140625" bestFit="1" customWidth="1"/>
    <col min="6" max="6" width="16.5703125" customWidth="1"/>
    <col min="9" max="9" width="14.7109375" bestFit="1" customWidth="1"/>
  </cols>
  <sheetData>
    <row r="1" spans="1:10" ht="24" thickBot="1" x14ac:dyDescent="0.4">
      <c r="A1" s="31" t="s">
        <v>45</v>
      </c>
      <c r="B1" s="32"/>
      <c r="C1" s="32"/>
      <c r="D1" s="32"/>
      <c r="E1" s="33"/>
    </row>
    <row r="2" spans="1:10" x14ac:dyDescent="0.25">
      <c r="A2" s="3" t="s">
        <v>1</v>
      </c>
      <c r="B2" s="3" t="s">
        <v>3</v>
      </c>
      <c r="C2" s="3" t="s">
        <v>2</v>
      </c>
      <c r="D2" s="3" t="s">
        <v>4</v>
      </c>
      <c r="E2" s="3" t="s">
        <v>37</v>
      </c>
      <c r="F2" s="3"/>
      <c r="G2" s="3"/>
      <c r="H2" s="3"/>
      <c r="I2" s="3"/>
      <c r="J2" s="3"/>
    </row>
    <row r="3" spans="1:10" x14ac:dyDescent="0.25">
      <c r="A3" s="2" t="s">
        <v>20</v>
      </c>
      <c r="B3" s="37" t="str">
        <f>LEFT(A3,4)</f>
        <v>1234</v>
      </c>
      <c r="C3" s="6" t="str">
        <f>udfShowFormula(B3)</f>
        <v>=LEFT(A3,4)</v>
      </c>
      <c r="D3" s="5" t="s">
        <v>46</v>
      </c>
      <c r="E3" s="3"/>
      <c r="F3" s="3"/>
      <c r="G3" s="3"/>
      <c r="H3" s="3"/>
      <c r="I3" s="3"/>
      <c r="J3" s="3"/>
    </row>
    <row r="4" spans="1:10" x14ac:dyDescent="0.25">
      <c r="A4" s="2" t="s">
        <v>23</v>
      </c>
      <c r="B4" s="37">
        <f>FIND("4", A4)</f>
        <v>4</v>
      </c>
      <c r="C4" s="6" t="str">
        <f t="shared" ref="C4:C22" si="0">udfShowFormula(B4)</f>
        <v>=FIND("4", A4)</v>
      </c>
      <c r="D4" s="5" t="s">
        <v>24</v>
      </c>
      <c r="E4" s="3"/>
      <c r="F4" s="3"/>
      <c r="G4" s="3"/>
      <c r="H4" s="3"/>
      <c r="I4" s="3"/>
      <c r="J4" s="3"/>
    </row>
    <row r="5" spans="1:10" x14ac:dyDescent="0.25">
      <c r="A5" s="1" t="s">
        <v>0</v>
      </c>
      <c r="B5" s="38" t="str">
        <f>LEFT(A5,FIND("@",A5)-1)</f>
        <v>john.smith</v>
      </c>
      <c r="C5" s="6" t="str">
        <f t="shared" si="0"/>
        <v>=LEFT(A5,FIND("@",A5)-1)</v>
      </c>
      <c r="D5" t="s">
        <v>47</v>
      </c>
      <c r="E5" s="2"/>
      <c r="F5" s="2"/>
    </row>
    <row r="6" spans="1:10" x14ac:dyDescent="0.25">
      <c r="A6" t="s">
        <v>19</v>
      </c>
      <c r="B6" s="38" t="str">
        <f>LEFT(A6,FIND(" ",A6)-1)</f>
        <v>George</v>
      </c>
      <c r="C6" s="6" t="str">
        <f t="shared" si="0"/>
        <v>=LEFT(A6,FIND(" ",A6)-1)</v>
      </c>
      <c r="D6" t="s">
        <v>48</v>
      </c>
      <c r="F6" s="2"/>
    </row>
    <row r="7" spans="1:10" x14ac:dyDescent="0.25">
      <c r="A7" t="s">
        <v>19</v>
      </c>
      <c r="B7" s="38">
        <f>LEN(A7)-FIND(" ",A7)</f>
        <v>10</v>
      </c>
      <c r="C7" s="6" t="str">
        <f t="shared" si="0"/>
        <v>=LEN(A7)-FIND(" ",A7)</v>
      </c>
      <c r="D7" t="s">
        <v>30</v>
      </c>
      <c r="F7" s="2"/>
    </row>
    <row r="8" spans="1:10" x14ac:dyDescent="0.25">
      <c r="A8" t="s">
        <v>19</v>
      </c>
      <c r="B8" s="38" t="str">
        <f>RIGHT(A8, LEN(A8)-FIND(" ",A8))</f>
        <v>Washington</v>
      </c>
      <c r="C8" s="6" t="str">
        <f t="shared" si="0"/>
        <v>=RIGHT(A8, LEN(A8)-FIND(" ",A8))</v>
      </c>
      <c r="D8" t="s">
        <v>31</v>
      </c>
      <c r="F8" s="2"/>
    </row>
    <row r="9" spans="1:10" x14ac:dyDescent="0.25">
      <c r="A9" s="1" t="s">
        <v>0</v>
      </c>
      <c r="B9" s="38" t="str">
        <f>RIGHT(A9,3)</f>
        <v>com</v>
      </c>
      <c r="C9" s="6" t="str">
        <f t="shared" si="0"/>
        <v>=RIGHT(A9,3)</v>
      </c>
      <c r="D9" t="s">
        <v>21</v>
      </c>
      <c r="F9" s="2"/>
      <c r="I9" s="2"/>
    </row>
    <row r="10" spans="1:10" x14ac:dyDescent="0.25">
      <c r="A10" s="2" t="s">
        <v>20</v>
      </c>
      <c r="B10" s="38" t="str">
        <f>MID(A10,2,3)</f>
        <v>234</v>
      </c>
      <c r="C10" s="6" t="str">
        <f t="shared" si="0"/>
        <v>=MID(A10,2,3)</v>
      </c>
      <c r="D10" t="s">
        <v>22</v>
      </c>
    </row>
    <row r="11" spans="1:10" x14ac:dyDescent="0.25">
      <c r="A11" s="1" t="s">
        <v>0</v>
      </c>
      <c r="B11" s="38">
        <f>LEN(A11)</f>
        <v>18</v>
      </c>
      <c r="C11" s="6" t="str">
        <f t="shared" si="0"/>
        <v>=LEN(A11)</v>
      </c>
      <c r="D11" t="s">
        <v>5</v>
      </c>
    </row>
    <row r="12" spans="1:10" x14ac:dyDescent="0.25">
      <c r="A12" s="1" t="s">
        <v>0</v>
      </c>
      <c r="B12" s="38">
        <f>LEN(A12)-LEN(SUBSTITUTE(A12,".",""))</f>
        <v>2</v>
      </c>
      <c r="C12" s="6" t="str">
        <f t="shared" si="0"/>
        <v>=LEN(A12)-LEN(SUBSTITUTE(A12,".",""))</v>
      </c>
      <c r="D12" t="s">
        <v>27</v>
      </c>
    </row>
    <row r="13" spans="1:10" x14ac:dyDescent="0.25">
      <c r="A13" s="1" t="s">
        <v>0</v>
      </c>
      <c r="B13" s="38">
        <f>FIND("*",SUBSTITUTE(A13,".","*",LEN(A13)-LEN(SUBSTITUTE(A13,".",""))))</f>
        <v>15</v>
      </c>
      <c r="C13" s="6" t="str">
        <f t="shared" si="0"/>
        <v>=FIND("*",SUBSTITUTE(A13,".","*",LEN(A13)-LEN(SUBSTITUTE(A13,".",""))))</v>
      </c>
      <c r="D13" t="s">
        <v>17</v>
      </c>
    </row>
    <row r="14" spans="1:10" x14ac:dyDescent="0.25">
      <c r="A14" s="1" t="s">
        <v>18</v>
      </c>
      <c r="B14" s="38" t="str">
        <f>MID(A14,FIND("@",A14)+1,FIND("*",SUBSTITUTE(A14,".","*",LEN(A14)-LEN(SUBSTITUTE(A14,".",""))))-FIND("@",A14)-1)</f>
        <v>microsoft</v>
      </c>
      <c r="C14" s="6" t="str">
        <f t="shared" si="0"/>
        <v>=MID(A14,FIND("@",A14)+1,FIND("*",SUBSTITUTE(A14,".","*",LEN(A14)-LEN(SUBSTITUTE(A14,".",""))))-FIND("@",A14)-1)</v>
      </c>
      <c r="D14" t="s">
        <v>32</v>
      </c>
      <c r="F14" s="2"/>
      <c r="I14" s="2"/>
    </row>
    <row r="15" spans="1:10" x14ac:dyDescent="0.25">
      <c r="A15" s="1" t="s">
        <v>0</v>
      </c>
      <c r="B15" s="38">
        <f>LEN(A15)-FIND("*",SUBSTITUTE(A15,".","*",LEN(A15)-LEN(SUBSTITUTE(A15,".",""))))</f>
        <v>3</v>
      </c>
      <c r="C15" s="6" t="str">
        <f t="shared" si="0"/>
        <v>=LEN(A15)-FIND("*",SUBSTITUTE(A15,".","*",LEN(A15)-LEN(SUBSTITUTE(A15,".",""))))</v>
      </c>
      <c r="D15" t="s">
        <v>28</v>
      </c>
    </row>
    <row r="16" spans="1:10" x14ac:dyDescent="0.25">
      <c r="A16" s="1" t="s">
        <v>0</v>
      </c>
      <c r="B16" s="38" t="str">
        <f>RIGHT(A16, LEN(A16)-FIND("*",SUBSTITUTE(A16,".","*",LEN(A16)-LEN(SUBSTITUTE(A16,".","")))))</f>
        <v>com</v>
      </c>
      <c r="C16" s="6" t="str">
        <f t="shared" si="0"/>
        <v>=RIGHT(A16, LEN(A16)-FIND("*",SUBSTITUTE(A16,".","*",LEN(A16)-LEN(SUBSTITUTE(A16,".","")))))</v>
      </c>
      <c r="D16" t="s">
        <v>29</v>
      </c>
    </row>
    <row r="17" spans="1:6" x14ac:dyDescent="0.25">
      <c r="A17" s="1" t="s">
        <v>0</v>
      </c>
      <c r="B17" s="38" t="str">
        <f>SUBSTITUTE(A17, "abc", "microsoft")</f>
        <v>john.smith@microsoft.com</v>
      </c>
      <c r="C17" s="6" t="str">
        <f t="shared" si="0"/>
        <v>=SUBSTITUTE(A17, "abc", "microsoft")</v>
      </c>
      <c r="D17" t="s">
        <v>6</v>
      </c>
    </row>
    <row r="18" spans="1:6" x14ac:dyDescent="0.25">
      <c r="A18" s="4" t="s">
        <v>25</v>
      </c>
      <c r="B18" s="38" t="str">
        <f>SUBSTITUTE(A18,"C:\", "C:\TEMP\")</f>
        <v>C:\TEMP\AVAITEM.XLS</v>
      </c>
      <c r="C18" s="6" t="str">
        <f t="shared" si="0"/>
        <v>=SUBSTITUTE(A18,"C:\", "C:\TEMP\")</v>
      </c>
      <c r="D18" t="s">
        <v>26</v>
      </c>
    </row>
    <row r="19" spans="1:6" x14ac:dyDescent="0.25">
      <c r="A19" t="s">
        <v>38</v>
      </c>
      <c r="B19" s="38" t="str">
        <f>SUBSTITUTE(A19, ".","^",3)</f>
        <v>1.2.3^4.5.6.7.8.</v>
      </c>
      <c r="C19" s="6" t="str">
        <f t="shared" si="0"/>
        <v>=SUBSTITUTE(A19, ".","^",3)</v>
      </c>
      <c r="D19" t="s">
        <v>43</v>
      </c>
      <c r="E19" t="s">
        <v>44</v>
      </c>
      <c r="F19" s="2"/>
    </row>
    <row r="20" spans="1:6" x14ac:dyDescent="0.25">
      <c r="A20" t="s">
        <v>33</v>
      </c>
      <c r="B20" s="38" t="str">
        <f>TRIM(MID(SUBSTITUTE(A20," ",REPT(" ",LEN(A20))),(2-1)*LEN(A20)+1,LEN(A20)))</f>
        <v>Two</v>
      </c>
      <c r="C20" s="6" t="str">
        <f t="shared" si="0"/>
        <v>=TRIM(MID(SUBSTITUTE(A20," ",REPT(" ",LEN(A20))),(2-1)*LEN(A20)+1,LEN(A20)))</v>
      </c>
      <c r="D20" t="s">
        <v>34</v>
      </c>
      <c r="E20" t="s">
        <v>41</v>
      </c>
      <c r="F20" s="2"/>
    </row>
    <row r="21" spans="1:6" x14ac:dyDescent="0.25">
      <c r="A21" t="s">
        <v>35</v>
      </c>
      <c r="B21" s="38" t="str">
        <f>TRIM(MID(SUBSTITUTE(A21,",",REPT(" ",LEN(A21))),(4-1)*LEN(A21)+1,LEN(A21)))</f>
        <v>Four</v>
      </c>
      <c r="C21" s="6" t="str">
        <f t="shared" si="0"/>
        <v>=TRIM(MID(SUBSTITUTE(A21,",",REPT(" ",LEN(A21))),(4-1)*LEN(A21)+1,LEN(A21)))</v>
      </c>
      <c r="D21" t="s">
        <v>36</v>
      </c>
      <c r="F21" s="2"/>
    </row>
    <row r="22" spans="1:6" x14ac:dyDescent="0.25">
      <c r="A22" t="s">
        <v>38</v>
      </c>
      <c r="B22" s="38">
        <f>FIND(CHAR(160),SUBSTITUTE(A22,".",CHAR(160),4))</f>
        <v>8</v>
      </c>
      <c r="C22" s="6" t="str">
        <f t="shared" si="0"/>
        <v>=FIND(CHAR(160),SUBSTITUTE(A22,".",CHAR(160),4))</v>
      </c>
      <c r="D22" t="s">
        <v>39</v>
      </c>
      <c r="E22" t="s">
        <v>40</v>
      </c>
      <c r="F22" s="2"/>
    </row>
    <row r="23" spans="1:6" ht="15.75" thickBot="1" x14ac:dyDescent="0.3">
      <c r="A23" s="1"/>
    </row>
    <row r="24" spans="1:6" ht="24" thickBot="1" x14ac:dyDescent="0.4">
      <c r="A24" s="31" t="s">
        <v>7</v>
      </c>
      <c r="B24" s="32"/>
      <c r="C24" s="32"/>
      <c r="D24" s="32"/>
      <c r="E24" s="33"/>
    </row>
    <row r="25" spans="1:6" x14ac:dyDescent="0.25">
      <c r="A25" s="3" t="s">
        <v>1</v>
      </c>
      <c r="B25" s="3" t="s">
        <v>3</v>
      </c>
      <c r="C25" s="3" t="s">
        <v>2</v>
      </c>
      <c r="D25" s="3" t="s">
        <v>4</v>
      </c>
      <c r="E25" s="3" t="s">
        <v>37</v>
      </c>
    </row>
    <row r="26" spans="1:6" x14ac:dyDescent="0.25">
      <c r="A26">
        <v>1</v>
      </c>
      <c r="B26" s="38" t="str">
        <f>TEXT(A26,"000000")</f>
        <v>000001</v>
      </c>
      <c r="C26" s="2" t="str">
        <f t="shared" ref="C26:C29" si="1">udfShowFormula(B26)</f>
        <v>=TEXT(A26,"000000")</v>
      </c>
      <c r="D26" t="s">
        <v>8</v>
      </c>
    </row>
    <row r="27" spans="1:6" x14ac:dyDescent="0.25">
      <c r="A27" s="1" t="s">
        <v>0</v>
      </c>
      <c r="B27" s="38" t="str">
        <f>UPPER(A27)</f>
        <v>JOHN.SMITH@ABC.COM</v>
      </c>
      <c r="C27" s="2" t="str">
        <f t="shared" si="1"/>
        <v>=UPPER(A27)</v>
      </c>
      <c r="D27" t="s">
        <v>10</v>
      </c>
    </row>
    <row r="28" spans="1:6" x14ac:dyDescent="0.25">
      <c r="A28" s="1" t="s">
        <v>9</v>
      </c>
      <c r="B28" s="38" t="str">
        <f>LOWER(A28)</f>
        <v>john.smith@abc.com</v>
      </c>
      <c r="C28" s="2" t="str">
        <f t="shared" si="1"/>
        <v>=LOWER(A28)</v>
      </c>
      <c r="D28" t="s">
        <v>11</v>
      </c>
    </row>
    <row r="29" spans="1:6" x14ac:dyDescent="0.25">
      <c r="A29" s="1" t="s">
        <v>9</v>
      </c>
      <c r="B29" s="38" t="str">
        <f>PROPER(A29)</f>
        <v>John.Smith@Abc.Com</v>
      </c>
      <c r="C29" s="2" t="str">
        <f t="shared" si="1"/>
        <v>=PROPER(A29)</v>
      </c>
      <c r="D29" t="s">
        <v>16</v>
      </c>
    </row>
    <row r="30" spans="1:6" x14ac:dyDescent="0.25">
      <c r="A30" s="1"/>
    </row>
    <row r="31" spans="1:6" ht="15.75" thickBot="1" x14ac:dyDescent="0.3">
      <c r="A31" s="1"/>
    </row>
    <row r="32" spans="1:6" ht="24" thickBot="1" x14ac:dyDescent="0.4">
      <c r="A32" s="31" t="s">
        <v>42</v>
      </c>
      <c r="B32" s="32"/>
      <c r="C32" s="32"/>
      <c r="D32" s="32"/>
      <c r="E32" s="33"/>
    </row>
    <row r="33" spans="1:1" x14ac:dyDescent="0.25">
      <c r="A33" s="1"/>
    </row>
  </sheetData>
  <mergeCells count="3">
    <mergeCell ref="A1:E1"/>
    <mergeCell ref="A24:E24"/>
    <mergeCell ref="A32:E32"/>
  </mergeCells>
  <phoneticPr fontId="5" type="noConversion"/>
  <hyperlinks>
    <hyperlink ref="A5" r:id="rId1" xr:uid="{CF30951B-E06D-4879-946E-129C7A71ECB4}"/>
    <hyperlink ref="A14" r:id="rId2" xr:uid="{EF819A1F-B614-401D-8CF7-5E31853533AF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25C64-EE91-4195-8337-87B6A1D6C404}">
  <sheetPr codeName="Sheet2"/>
  <dimension ref="A1:M27"/>
  <sheetViews>
    <sheetView workbookViewId="0">
      <selection activeCell="H31" sqref="H31"/>
    </sheetView>
  </sheetViews>
  <sheetFormatPr defaultRowHeight="15" x14ac:dyDescent="0.25"/>
  <cols>
    <col min="2" max="2" width="15.85546875" bestFit="1" customWidth="1"/>
    <col min="3" max="3" width="15.85546875" customWidth="1"/>
    <col min="4" max="4" width="20.7109375" bestFit="1" customWidth="1"/>
    <col min="5" max="5" width="28.85546875" customWidth="1"/>
    <col min="6" max="6" width="28.85546875" bestFit="1" customWidth="1"/>
    <col min="7" max="7" width="17" bestFit="1" customWidth="1"/>
    <col min="8" max="8" width="28.85546875" bestFit="1" customWidth="1"/>
    <col min="9" max="9" width="31.140625" bestFit="1" customWidth="1"/>
    <col min="10" max="10" width="71.7109375" style="7" bestFit="1" customWidth="1"/>
  </cols>
  <sheetData>
    <row r="1" spans="1:13" ht="27" thickBot="1" x14ac:dyDescent="0.45">
      <c r="A1" s="34" t="s">
        <v>14</v>
      </c>
      <c r="B1" s="35"/>
      <c r="C1" s="35"/>
      <c r="D1" s="35"/>
      <c r="E1" s="35"/>
      <c r="F1" s="35"/>
      <c r="G1" s="35"/>
      <c r="H1" s="35"/>
      <c r="I1" s="36"/>
    </row>
    <row r="3" spans="1:13" ht="23.25" x14ac:dyDescent="0.35">
      <c r="A3" s="23" t="s">
        <v>73</v>
      </c>
    </row>
    <row r="4" spans="1:13" x14ac:dyDescent="0.25">
      <c r="A4" s="9" t="s">
        <v>49</v>
      </c>
      <c r="B4" s="9" t="s">
        <v>53</v>
      </c>
      <c r="C4" s="9"/>
      <c r="D4" s="9" t="s">
        <v>54</v>
      </c>
      <c r="E4" s="9" t="s">
        <v>56</v>
      </c>
      <c r="F4" s="9" t="s">
        <v>55</v>
      </c>
      <c r="G4" s="9" t="s">
        <v>14</v>
      </c>
      <c r="H4" s="9" t="s">
        <v>2</v>
      </c>
      <c r="I4" s="9" t="s">
        <v>57</v>
      </c>
      <c r="J4" s="7" t="s">
        <v>74</v>
      </c>
      <c r="M4" t="s">
        <v>12</v>
      </c>
    </row>
    <row r="5" spans="1:13" ht="45" customHeight="1" x14ac:dyDescent="0.25">
      <c r="A5" s="10" t="s">
        <v>50</v>
      </c>
      <c r="B5" s="11">
        <v>100</v>
      </c>
      <c r="C5" s="11"/>
      <c r="D5" s="12">
        <v>0.03</v>
      </c>
      <c r="E5" s="10">
        <v>10</v>
      </c>
      <c r="F5" s="10">
        <v>12</v>
      </c>
      <c r="G5" s="22">
        <f>FV(D5/F5,E5*F5,0,-B5,0)</f>
        <v>134.93535471908257</v>
      </c>
      <c r="H5" s="13" t="s">
        <v>62</v>
      </c>
      <c r="I5" s="13" t="s">
        <v>58</v>
      </c>
      <c r="J5" s="8" t="s">
        <v>59</v>
      </c>
      <c r="M5" t="s">
        <v>13</v>
      </c>
    </row>
    <row r="6" spans="1:13" ht="45" customHeight="1" x14ac:dyDescent="0.25">
      <c r="A6" s="10" t="s">
        <v>51</v>
      </c>
      <c r="B6" s="11">
        <v>100</v>
      </c>
      <c r="C6" s="11"/>
      <c r="D6" s="12">
        <v>0.02</v>
      </c>
      <c r="E6" s="10">
        <v>15</v>
      </c>
      <c r="F6" s="10">
        <v>12</v>
      </c>
      <c r="G6" s="22">
        <f t="shared" ref="G6:G7" si="0">FV(D6/F6,E6*F6,0,-B6,0)</f>
        <v>134.95217594528418</v>
      </c>
      <c r="H6" s="14"/>
      <c r="I6" s="14"/>
      <c r="J6" s="8" t="s">
        <v>60</v>
      </c>
      <c r="M6" t="s">
        <v>14</v>
      </c>
    </row>
    <row r="7" spans="1:13" ht="45" customHeight="1" x14ac:dyDescent="0.25">
      <c r="A7" s="10" t="s">
        <v>52</v>
      </c>
      <c r="B7" s="11">
        <v>100</v>
      </c>
      <c r="C7" s="11"/>
      <c r="D7" s="12">
        <v>0.01</v>
      </c>
      <c r="E7" s="10">
        <v>30</v>
      </c>
      <c r="F7" s="10">
        <v>12</v>
      </c>
      <c r="G7" s="22">
        <f t="shared" si="0"/>
        <v>134.96901794402743</v>
      </c>
      <c r="H7" s="14"/>
      <c r="I7" s="14"/>
      <c r="J7" s="8" t="s">
        <v>64</v>
      </c>
      <c r="M7" t="s">
        <v>15</v>
      </c>
    </row>
    <row r="8" spans="1:13" ht="45" customHeight="1" x14ac:dyDescent="0.25">
      <c r="A8" s="10"/>
      <c r="B8" s="10"/>
      <c r="C8" s="10"/>
      <c r="D8" s="10"/>
      <c r="E8" s="10"/>
      <c r="F8" s="10"/>
      <c r="G8" s="10"/>
      <c r="H8" s="14"/>
      <c r="I8" s="14"/>
      <c r="J8" s="8" t="s">
        <v>63</v>
      </c>
    </row>
    <row r="9" spans="1:13" ht="45" customHeight="1" x14ac:dyDescent="0.25">
      <c r="A9" s="10"/>
      <c r="B9" s="10"/>
      <c r="C9" s="10"/>
      <c r="D9" s="10"/>
      <c r="E9" s="10"/>
      <c r="F9" s="10"/>
      <c r="G9" s="10"/>
      <c r="H9" s="14"/>
      <c r="I9" s="14"/>
      <c r="J9" s="8" t="s">
        <v>61</v>
      </c>
    </row>
    <row r="10" spans="1:13" x14ac:dyDescent="0.25">
      <c r="A10" s="24" t="s">
        <v>76</v>
      </c>
    </row>
    <row r="12" spans="1:13" ht="23.25" x14ac:dyDescent="0.35">
      <c r="A12" s="23" t="s">
        <v>75</v>
      </c>
    </row>
    <row r="13" spans="1:13" ht="30" customHeight="1" x14ac:dyDescent="0.25">
      <c r="A13" s="9" t="s">
        <v>49</v>
      </c>
      <c r="B13" s="15" t="s">
        <v>72</v>
      </c>
      <c r="C13" s="15"/>
      <c r="D13" s="9" t="s">
        <v>54</v>
      </c>
      <c r="E13" s="9" t="s">
        <v>56</v>
      </c>
      <c r="F13" s="9" t="s">
        <v>55</v>
      </c>
      <c r="G13" s="9" t="s">
        <v>14</v>
      </c>
      <c r="H13" s="9" t="s">
        <v>2</v>
      </c>
      <c r="I13" s="9" t="s">
        <v>57</v>
      </c>
    </row>
    <row r="14" spans="1:13" ht="30" x14ac:dyDescent="0.25">
      <c r="A14" s="16" t="s">
        <v>50</v>
      </c>
      <c r="B14" s="17">
        <v>500</v>
      </c>
      <c r="C14" s="17"/>
      <c r="D14" s="18">
        <v>0.03</v>
      </c>
      <c r="E14" s="16">
        <v>10</v>
      </c>
      <c r="F14" s="16">
        <v>12</v>
      </c>
      <c r="G14" s="19">
        <f>FV(D14/F14,E14*F14,-100,-B14,0)</f>
        <v>14648.818661228443</v>
      </c>
      <c r="H14" s="20" t="s">
        <v>67</v>
      </c>
      <c r="I14" s="20" t="s">
        <v>58</v>
      </c>
      <c r="J14" s="7" t="s">
        <v>65</v>
      </c>
    </row>
    <row r="15" spans="1:13" x14ac:dyDescent="0.25">
      <c r="A15" s="16" t="s">
        <v>51</v>
      </c>
      <c r="B15" s="17">
        <v>500</v>
      </c>
      <c r="C15" s="17"/>
      <c r="D15" s="18">
        <v>0.02</v>
      </c>
      <c r="E15" s="16">
        <v>15</v>
      </c>
      <c r="F15" s="16">
        <v>12</v>
      </c>
      <c r="G15" s="19">
        <f t="shared" ref="G15:G18" si="1">FV(D15/F15,E15*F15,-100,-B15,0)</f>
        <v>21646.066446896937</v>
      </c>
      <c r="H15" s="21"/>
      <c r="I15" s="21"/>
      <c r="J15" s="7" t="s">
        <v>66</v>
      </c>
    </row>
    <row r="16" spans="1:13" ht="30" x14ac:dyDescent="0.25">
      <c r="A16" s="16" t="s">
        <v>52</v>
      </c>
      <c r="B16" s="17">
        <v>500</v>
      </c>
      <c r="C16" s="17"/>
      <c r="D16" s="18">
        <v>0.01</v>
      </c>
      <c r="E16" s="16">
        <v>30</v>
      </c>
      <c r="F16" s="16">
        <v>12</v>
      </c>
      <c r="G16" s="19">
        <f t="shared" si="1"/>
        <v>42637.66662255305</v>
      </c>
      <c r="H16" s="21"/>
      <c r="I16" s="21"/>
      <c r="J16" s="7" t="s">
        <v>68</v>
      </c>
    </row>
    <row r="17" spans="1:10" ht="30" x14ac:dyDescent="0.25">
      <c r="A17" s="16" t="s">
        <v>70</v>
      </c>
      <c r="B17" s="17">
        <v>0</v>
      </c>
      <c r="C17" s="17"/>
      <c r="D17" s="18">
        <v>0.01</v>
      </c>
      <c r="E17" s="16">
        <v>1</v>
      </c>
      <c r="F17" s="16">
        <v>12</v>
      </c>
      <c r="G17" s="19">
        <f t="shared" si="1"/>
        <v>1205.5153064616686</v>
      </c>
      <c r="H17" s="21"/>
      <c r="I17" s="21"/>
      <c r="J17" s="7" t="s">
        <v>69</v>
      </c>
    </row>
    <row r="18" spans="1:10" ht="30" x14ac:dyDescent="0.25">
      <c r="A18" s="16" t="s">
        <v>71</v>
      </c>
      <c r="B18" s="17">
        <v>0</v>
      </c>
      <c r="C18" s="17"/>
      <c r="D18" s="18">
        <v>0.01</v>
      </c>
      <c r="E18" s="16">
        <v>1</v>
      </c>
      <c r="F18" s="16">
        <v>1</v>
      </c>
      <c r="G18" s="19">
        <f t="shared" si="1"/>
        <v>100.00000000000009</v>
      </c>
      <c r="H18" s="21"/>
      <c r="I18" s="21"/>
      <c r="J18" s="7" t="s">
        <v>61</v>
      </c>
    </row>
    <row r="19" spans="1:10" x14ac:dyDescent="0.25">
      <c r="A19" s="25" t="s">
        <v>77</v>
      </c>
    </row>
    <row r="22" spans="1:10" ht="15.75" thickBot="1" x14ac:dyDescent="0.3"/>
    <row r="23" spans="1:10" ht="27" thickBot="1" x14ac:dyDescent="0.45">
      <c r="A23" s="34" t="s">
        <v>78</v>
      </c>
      <c r="B23" s="35"/>
      <c r="C23" s="35"/>
      <c r="D23" s="35"/>
      <c r="E23" s="35"/>
      <c r="F23" s="35"/>
      <c r="G23" s="35"/>
      <c r="H23" s="35"/>
      <c r="I23" s="36"/>
    </row>
    <row r="24" spans="1:10" ht="30" customHeight="1" x14ac:dyDescent="0.25">
      <c r="A24" s="28" t="s">
        <v>85</v>
      </c>
      <c r="B24" s="28" t="s">
        <v>82</v>
      </c>
      <c r="C24" s="28" t="s">
        <v>81</v>
      </c>
      <c r="D24" s="26" t="s">
        <v>79</v>
      </c>
      <c r="E24" s="28" t="s">
        <v>54</v>
      </c>
      <c r="F24" s="28" t="s">
        <v>56</v>
      </c>
      <c r="G24" s="28" t="s">
        <v>55</v>
      </c>
      <c r="H24" s="27" t="s">
        <v>80</v>
      </c>
      <c r="I24" s="27" t="s">
        <v>2</v>
      </c>
      <c r="J24" s="30" t="s">
        <v>84</v>
      </c>
    </row>
    <row r="25" spans="1:10" x14ac:dyDescent="0.25">
      <c r="A25" s="16" t="s">
        <v>50</v>
      </c>
      <c r="B25" s="17">
        <v>300000</v>
      </c>
      <c r="C25" s="17">
        <v>60000</v>
      </c>
      <c r="D25" s="17">
        <f>B25-C25</f>
        <v>240000</v>
      </c>
      <c r="E25" s="18">
        <v>0.04</v>
      </c>
      <c r="F25" s="16">
        <v>30</v>
      </c>
      <c r="G25" s="16">
        <v>12</v>
      </c>
      <c r="H25" s="19">
        <f>PMT(E25/G25,F25*G25,-D25)</f>
        <v>1145.7967091171026</v>
      </c>
      <c r="I25" s="29" t="s">
        <v>83</v>
      </c>
    </row>
    <row r="26" spans="1:10" x14ac:dyDescent="0.25">
      <c r="A26" s="16" t="s">
        <v>51</v>
      </c>
      <c r="B26" s="17">
        <v>300000</v>
      </c>
      <c r="C26" s="17">
        <v>60000</v>
      </c>
      <c r="D26" s="17">
        <f t="shared" ref="D26:D27" si="2">B26-C26</f>
        <v>240000</v>
      </c>
      <c r="E26" s="18">
        <v>0.05</v>
      </c>
      <c r="F26" s="16">
        <v>20</v>
      </c>
      <c r="G26" s="16">
        <v>12</v>
      </c>
      <c r="H26" s="19">
        <f t="shared" ref="H26:H27" si="3">PMT(E26/G26,F26*G26,-D26)</f>
        <v>1583.8937741199777</v>
      </c>
      <c r="I26" s="16"/>
    </row>
    <row r="27" spans="1:10" x14ac:dyDescent="0.25">
      <c r="A27" s="16" t="s">
        <v>52</v>
      </c>
      <c r="B27" s="17">
        <v>300000</v>
      </c>
      <c r="C27" s="17">
        <v>60000</v>
      </c>
      <c r="D27" s="17">
        <f t="shared" si="2"/>
        <v>240000</v>
      </c>
      <c r="E27" s="18">
        <v>0.06</v>
      </c>
      <c r="F27" s="16">
        <v>15</v>
      </c>
      <c r="G27" s="16">
        <v>12</v>
      </c>
      <c r="H27" s="19">
        <f t="shared" si="3"/>
        <v>2025.2563873162831</v>
      </c>
      <c r="I27" s="16"/>
    </row>
  </sheetData>
  <mergeCells count="2">
    <mergeCell ref="A1:I1"/>
    <mergeCell ref="A23:I2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Text Manipulation</vt:lpstr>
      <vt:lpstr>Financial Calculation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Chen, Theodore</dc:creator>
  <cp:lastModifiedBy>Chen, Theodore</cp:lastModifiedBy>
  <dcterms:created xsi:type="dcterms:W3CDTF">2019-11-06T17:28:28Z</dcterms:created>
  <dcterms:modified xsi:type="dcterms:W3CDTF">2019-11-14T20:05:56Z</dcterms:modified>
</cp:coreProperties>
</file>